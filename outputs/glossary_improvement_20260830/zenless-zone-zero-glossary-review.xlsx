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3937afe2e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125c4d421c4157"/>
    <x:sheet xmlns:r="http://schemas.openxmlformats.org/officeDocument/2006/relationships" name="Added terms" sheetId="2" r:id="R6495f4fed71d4040"/>
    <x:sheet xmlns:r="http://schemas.openxmlformats.org/officeDocument/2006/relationships" name="Removed risky terms" sheetId="3" r:id="R5112bdce0ad74848"/>
    <x:sheet xmlns:r="http://schemas.openxmlformats.org/officeDocument/2006/relationships" name="QA samples" sheetId="4" r:id="R79ad0824c577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sz val="10"/>
      <x:color rgb="FF1F2937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6324F"/>
      <x:name val="Microsoft YaHei"/>
    </x:font>
    <x:font>
      <x:b/>
      <x:sz val="13"/>
      <x:color rgb="FF0F766E"/>
      <x:name val="Microsoft YaHei"/>
    </x:font>
    <x:font>
      <x:b/>
      <x:sz val="13"/>
      <x:color rgb="FFB45309"/>
      <x:name val="Microsoft YaHei"/>
    </x:font>
    <x:font>
      <x:b/>
      <x:sz val="10"/>
      <x:color rgb="FFFFFFFF"/>
      <x:name val="Microsoft YaHei"/>
    </x:font>
    <x:font>
      <x:b/>
      <x:sz val="10"/>
      <x:color rgb="FF0F766E"/>
      <x:name val="Microsoft YaHei"/>
    </x:font>
    <x:font>
      <x:b/>
      <x:sz val="10"/>
      <x:color rgb="FFB45309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5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</x:fills>
  <x:borders count="10">
    <x:border/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0F172A"/>
      </x:left>
      <x:top style="thin">
        <x:color rgb="FF0F172A"/>
      </x:top>
      <x:bottom style="thin">
        <x:color rgb="FF0F172A"/>
      </x:bottom>
    </x:border>
    <x:border>
      <x:top style="thin">
        <x:color rgb="FF0F172A"/>
      </x:top>
      <x:bottom style="thin">
        <x:color rgb="FF0F172A"/>
      </x:bottom>
    </x:border>
    <x:border>
      <x:right style="thin">
        <x:color rgb="FF0F172A"/>
      </x:right>
      <x:top style="thin">
        <x:color rgb="FF0F172A"/>
      </x:top>
      <x:bottom style="thin">
        <x:color rgb="FF0F172A"/>
      </x:bottom>
    </x:border>
  </x:borders>
  <x:cellStyleXfs count="1">
    <x:xf numFmtId="0" fontId="0" fillId="0" borderId="0"/>
  </x:cellStyleXfs>
  <x:cellXfs count="55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7" xfId="0" applyNumberFormat="1" applyFont="1" applyFill="1" applyBorder="1" applyAlignment="1">
      <x:alignment vertical="center"/>
    </x:xf>
    <x:xf numFmtId="0" fontId="7" fillId="2" borderId="8" xfId="0" applyNumberFormat="1" applyFont="1" applyFill="1" applyBorder="1" applyAlignment="1">
      <x:alignment vertical="center"/>
    </x:xf>
    <x:xf numFmtId="0" fontId="7" fillId="2" borderId="9" xfId="0" applyNumberFormat="1" applyFont="1" applyFill="1" applyBorder="1" applyAlignment="1">
      <x:alignment vertical="center"/>
    </x:xf>
    <x:xf numFmtId="0" fontId="7" fillId="2" borderId="7" xfId="0" applyNumberFormat="1" applyFont="1" applyFill="1" applyBorder="1" applyAlignment="1">
      <x:alignment horizontal="center" vertical="center"/>
    </x:xf>
    <x:xf numFmtId="0" fontId="7" fillId="2" borderId="8" xfId="0" applyNumberFormat="1" applyFont="1" applyFill="1" applyBorder="1" applyAlignment="1">
      <x:alignment horizontal="center" vertical="center"/>
    </x:xf>
    <x:xf numFmtId="0" fontId="7" fillId="2" borderId="9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d87d3d35e4b0b" /><Relationship Type="http://schemas.openxmlformats.org/officeDocument/2006/relationships/theme" Target="/xl/theme/theme1.xml" Id="Rc0a92801bcb94381" /><Relationship Type="http://schemas.openxmlformats.org/officeDocument/2006/relationships/sharedStrings" Target="/xl/sharedStrings.xml" Id="R9fe5b0cb29ce4631" /><Relationship Type="http://schemas.openxmlformats.org/officeDocument/2006/relationships/worksheet" Target="/xl/worksheets/sheet1.xml" Id="R2e125c4d421c4157" /><Relationship Type="http://schemas.openxmlformats.org/officeDocument/2006/relationships/worksheet" Target="/xl/worksheets/sheet2.xml" Id="R6495f4fed71d4040" /><Relationship Type="http://schemas.openxmlformats.org/officeDocument/2006/relationships/worksheet" Target="/xl/worksheets/sheet3.xml" Id="R5112bdce0ad74848" /><Relationship Type="http://schemas.openxmlformats.org/officeDocument/2006/relationships/worksheet" Target="/xl/worksheets/sheet4.xml" Id="R79ad0824c57748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22" hidden="0" customWidth="1"/>
    <x:col min="5" max="5" width="14" hidden="0" customWidth="1"/>
    <x:col min="6" max="6" width="14" hidden="0" customWidth="1"/>
  </x:cols>
  <x:sheetData>
    <x:row r="1" ht="34" customHeight="1">
      <x:c r="A1" s="8" t="str">
        <x:v>绝区零日中术语表改进报告</x:v>
      </x:c>
      <x:c r="B1" s="8"/>
      <x:c r="C1" s="8"/>
      <x:c r="D1" s="8"/>
      <x:c r="E1" s="8"/>
      <x:c r="F1" s="8"/>
    </x:row>
    <x:row r="2" ht="26" customHeight="1">
      <x:c r="A2" s="11" t="str">
        <x:v>基于3份双语字幕的实际误译与ASR变体，并以官方角色/3.2资料校准译名</x:v>
      </x:c>
      <x:c r="B2" s="11"/>
      <x:c r="C2" s="11"/>
      <x:c r="D2" s="11"/>
      <x:c r="E2" s="11"/>
      <x:c r="F2" s="11"/>
    </x:row>
    <x:row r="3">
      <x:c r="A3" s="3"/>
      <x:c r="B3" s="3"/>
      <x:c r="C3" s="3"/>
      <x:c r="D3" s="3"/>
      <x:c r="E3" s="3"/>
      <x:c r="F3" s="3"/>
    </x:row>
    <x:row r="4">
      <x:c r="A4" s="21" t="str">
        <x:v>原始条目</x:v>
      </x:c>
      <x:c r="B4" s="27" t="n">
        <x:v>1468</x:v>
      </x:c>
      <x:c r="C4" s="3"/>
      <x:c r="D4" s="21" t="str">
        <x:v>字幕条目</x:v>
      </x:c>
      <x:c r="E4" s="33" t="n">
        <x:v>5105</x:v>
      </x:c>
      <x:c r="F4" s="3"/>
    </x:row>
    <x:row r="5">
      <x:c r="A5" s="22" t="str">
        <x:v>移除高风险短词</x:v>
      </x:c>
      <x:c r="B5" s="28" t="n">
        <x:f>COUNTA('Removed risky terms'!A2:A200)</x:f>
        <x:v>24</x:v>
      </x:c>
      <x:c r="C5" s="3"/>
      <x:c r="D5" s="22" t="str">
        <x:v>原表命中术语</x:v>
      </x:c>
      <x:c r="E5" s="34" t="n">
        <x:v>128</x:v>
      </x:c>
      <x:c r="F5" s="3"/>
    </x:row>
    <x:row r="6">
      <x:c r="A6" s="22" t="str">
        <x:v>新增/补充条目</x:v>
      </x:c>
      <x:c r="B6" s="28" t="n">
        <x:f>COUNTA('Added terms'!A2:A200)</x:f>
        <x:v>58</x:v>
      </x:c>
      <x:c r="C6" s="3"/>
      <x:c r="D6" s="22" t="str">
        <x:v>检测到的冲突</x:v>
      </x:c>
      <x:c r="E6" s="34" t="n">
        <x:v>180</x:v>
      </x:c>
      <x:c r="F6" s="3"/>
    </x:row>
    <x:row r="7">
      <x:c r="A7" s="23" t="str">
        <x:v>改进版条目</x:v>
      </x:c>
      <x:c r="B7" s="29" t="n">
        <x:f>B4-B5+B6</x:f>
        <x:v>1502</x:v>
      </x:c>
      <x:c r="C7" s="3"/>
      <x:c r="D7" s="23" t="str">
        <x:v>其中由24个短词造成</x:v>
      </x:c>
      <x:c r="E7" s="35" t="n">
        <x:v>179</x:v>
      </x:c>
      <x:c r="F7" s="3"/>
    </x:row>
    <x:row r="8">
      <x:c r="A8" s="3"/>
      <x:c r="B8" s="3"/>
      <x:c r="C8" s="3"/>
      <x:c r="D8" s="3"/>
      <x:c r="E8" s="3"/>
      <x:c r="F8" s="3"/>
    </x:row>
    <x:row r="9">
      <x:c r="A9" s="37" t="str">
        <x:v>关键结论</x:v>
      </x:c>
      <x:c r="B9" s="37"/>
      <x:c r="C9" s="37"/>
      <x:c r="D9" s="37"/>
      <x:c r="E9" s="37"/>
      <x:c r="F9" s="37"/>
    </x:row>
    <x:row r="10" ht="30" customHeight="1">
      <x:c r="A10" s="44" t="str">
        <x:v>1</x:v>
      </x:c>
      <x:c r="B10" s="45" t="str">
        <x:v>主要问题不是条目不足，而是短别名误命中</x:v>
      </x:c>
      <x:c r="C10" s="45"/>
      <x:c r="D10" s="45"/>
      <x:c r="E10" s="45"/>
      <x:c r="F10" s="45"/>
    </x:row>
    <x:row r="11" ht="30" customHeight="1">
      <x:c r="A11" s="44" t="str">
        <x:v>2</x:v>
      </x:c>
      <x:c r="B11" s="45" t="str">
        <x:v>24个高风险词贡献了179/180次检测冲突；删除后可显著减少错误强制译名</x:v>
      </x:c>
      <x:c r="C11" s="45"/>
      <x:c r="D11" s="45"/>
      <x:c r="E11" s="45"/>
      <x:c r="F11" s="45"/>
    </x:row>
    <x:row r="12" ht="30" customHeight="1">
      <x:c r="A12" s="44" t="str">
        <x:v>3</x:v>
      </x:c>
      <x:c r="B12" s="45" t="str">
        <x:v>新增项优先覆盖三份字幕真实出现的ASR变体，如シグリット、ロクシー、ピロイス</x:v>
      </x:c>
      <x:c r="C12" s="45"/>
      <x:c r="D12" s="45"/>
      <x:c r="E12" s="45"/>
      <x:c r="F12" s="45"/>
    </x:row>
    <x:row r="13" ht="30" customHeight="1">
      <x:c r="A13" s="44" t="str">
        <x:v>4</x:v>
      </x:c>
      <x:c r="B13" s="45" t="str">
        <x:v>TSV仍建议按当前批次筛选相关术语后送给LLM，不要每次注入全部条目</x:v>
      </x:c>
      <x:c r="C13" s="45"/>
      <x:c r="D13" s="45"/>
      <x:c r="E13" s="45"/>
      <x:c r="F13" s="45"/>
    </x:row>
    <x:row r="14">
      <x:c r="A14" s="3"/>
      <x:c r="B14" s="3"/>
      <x:c r="C14" s="3"/>
      <x:c r="D14" s="3"/>
      <x:c r="E14" s="3"/>
      <x:c r="F14" s="3"/>
    </x:row>
    <x:row r="15">
      <x:c r="A15" s="39" t="str">
        <x:v>使用建议</x:v>
      </x:c>
      <x:c r="B15" s="39"/>
      <x:c r="C15" s="39"/>
      <x:c r="D15" s="39"/>
      <x:c r="E15" s="39"/>
      <x:c r="F15" s="39"/>
    </x:row>
    <x:row r="16" ht="34" customHeight="1">
      <x:c r="A16" s="46" t="str">
        <x:v>•</x:v>
      </x:c>
      <x:c r="B16" s="45" t="str">
        <x:v>翻译前先从日文批次中匹配术语，只向模型提供命中的条目和必要的官方全名。</x:v>
      </x:c>
      <x:c r="C16" s="45"/>
      <x:c r="D16" s="45"/>
      <x:c r="E16" s="45"/>
      <x:c r="F16" s="45"/>
    </x:row>
    <x:row r="17" ht="34" customHeight="1">
      <x:c r="A17" s="46" t="str">
        <x:v>•</x:v>
      </x:c>
      <x:c r="B17" s="45" t="str">
        <x:v>按日文词长度从长到短匹配；完整姓名优先于简称，避免部分字符串抢先命中。</x:v>
      </x:c>
      <x:c r="C17" s="45"/>
      <x:c r="D17" s="45"/>
      <x:c r="E17" s="45"/>
      <x:c r="F17" s="45"/>
    </x:row>
    <x:row r="18" ht="34" customHeight="1">
      <x:c r="A18" s="46" t="str">
        <x:v>•</x:v>
      </x:c>
      <x:c r="B18" s="45" t="str">
        <x:v>译后检查：原文命中术语时，中文必须包含指定译名；失败句单独重试。</x:v>
      </x:c>
      <x:c r="C18" s="45"/>
      <x:c r="D18" s="45"/>
      <x:c r="E18" s="45"/>
      <x:c r="F18" s="45"/>
    </x:row>
  </x:sheetData>
  <x:mergeCells>
    <x:mergeCell ref="A1:F1"/>
    <x:mergeCell ref="A2:F2"/>
    <x:mergeCell ref="A9:F9"/>
    <x:mergeCell ref="A15:F15"/>
    <x:mergeCell ref="B10:F10"/>
    <x:mergeCell ref="B11:F11"/>
    <x:mergeCell ref="B12:F12"/>
    <x:mergeCell ref="B13:F13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8" hidden="0" customWidth="1"/>
    <x:col min="4" max="4" width="14" hidden="0" customWidth="1"/>
    <x:col min="5" max="5" width="46" hidden="0" customWidth="1"/>
    <x:col min="6" max="6" width="48" hidden="0" customWidth="1"/>
  </x:cols>
  <x:sheetData>
    <x:row r="1" ht="28" customHeight="1">
      <x:c r="A1" s="51" t="str">
        <x:v>日文词/ASR变体</x:v>
      </x:c>
      <x:c r="B1" s="52" t="str">
        <x:v>统一中文</x:v>
      </x:c>
      <x:c r="C1" s="52" t="str">
        <x:v>类型</x:v>
      </x:c>
      <x:c r="D1" s="52" t="str">
        <x:v>样本出现次数</x:v>
      </x:c>
      <x:c r="E1" s="52" t="str">
        <x:v>纳入原因</x:v>
      </x:c>
      <x:c r="F1" s="53" t="str">
        <x:v>依据</x:v>
      </x:c>
    </x:row>
    <x:row r="2" ht="34" customHeight="1">
      <x:c r="A2" s="45" t="str">
        <x:v>ロクシー・イフリータ・プライス</x:v>
      </x:c>
      <x:c r="B2" s="45" t="str">
        <x:v>洛克茜·伊芙莉塔·普莱斯</x:v>
      </x:c>
      <x:c r="C2" s="45" t="str">
        <x:v>official</x:v>
      </x:c>
      <x:c r="D2" s="45" t="n">
        <x:v>0</x:v>
      </x:c>
      <x:c r="E2" s="45" t="str">
        <x:v>官方全名</x:v>
      </x:c>
      <x:c r="F2" s="45" t="str">
        <x:v>https://zenless.hoyoverse.com/ja-jp/main?catchSpider=1</x:v>
      </x:c>
    </x:row>
    <x:row r="3" ht="34" customHeight="1">
      <x:c r="A3" s="45" t="str">
        <x:v>ロクシー･イフリータ･プライス</x:v>
      </x:c>
      <x:c r="B3" s="45" t="str">
        <x:v>洛克茜·伊芙莉塔·普莱斯</x:v>
      </x:c>
      <x:c r="C3" s="45" t="str">
        <x:v>official_variant</x:v>
      </x:c>
      <x:c r="D3" s="45" t="n">
        <x:v>0</x:v>
      </x:c>
      <x:c r="E3" s="45" t="str">
        <x:v>分隔符变体</x:v>
      </x:c>
      <x:c r="F3" s="45" t="str">
        <x:v>https://zenless.hoyoverse.com/ja-jp/main?catchSpider=1</x:v>
      </x:c>
    </x:row>
    <x:row r="4" ht="34" customHeight="1">
      <x:c r="A4" s="45" t="str">
        <x:v>ロクシーイフリータプライス</x:v>
      </x:c>
      <x:c r="B4" s="45" t="str">
        <x:v>洛克茜·伊芙莉塔·普莱斯</x:v>
      </x:c>
      <x:c r="C4" s="45" t="str">
        <x:v>official_variant</x:v>
      </x:c>
      <x:c r="D4" s="45" t="n">
        <x:v>0</x:v>
      </x:c>
      <x:c r="E4" s="45" t="str">
        <x:v>无分隔符变体</x:v>
      </x:c>
      <x:c r="F4" s="45" t="str">
        <x:v>https://zenless.hoyoverse.com/ja-jp/main?catchSpider=1</x:v>
      </x:c>
    </x:row>
    <x:row r="5" ht="34" customHeight="1">
      <x:c r="A5" s="45" t="str">
        <x:v>ロクシー</x:v>
      </x:c>
      <x:c r="B5" s="45" t="str">
        <x:v>洛克茜</x:v>
      </x:c>
      <x:c r="C5" s="45" t="str">
        <x:v>observed_variant</x:v>
      </x:c>
      <x:c r="D5" s="45" t="n">
        <x:v>35</x:v>
      </x:c>
      <x:c r="E5" s="45" t="str">
        <x:v>3.2角色名；字幕中曾漂移为罗克西、洛希、露西</x:v>
      </x:c>
      <x:c r="F5" s="45" t="str">
        <x:v>https://zenless.hoyoverse.com/zh-cn/main?catchSpider=1</x:v>
      </x:c>
    </x:row>
    <x:row r="6" ht="34" customHeight="1">
      <x:c r="A6" s="45" t="str">
        <x:v>クラレッタ・フリンツ</x:v>
      </x:c>
      <x:c r="B6" s="45" t="str">
        <x:v>克拉蕾·弗林特</x:v>
      </x:c>
      <x:c r="C6" s="45" t="str">
        <x:v>official</x:v>
      </x:c>
      <x:c r="D6" s="45" t="n">
        <x:v>0</x:v>
      </x:c>
      <x:c r="E6" s="45" t="str">
        <x:v>官方全名</x:v>
      </x:c>
      <x:c r="F6" s="45" t="str">
        <x:v>https://zenless.hoyoverse.com/ja-jp/main?catchSpider=1</x:v>
      </x:c>
    </x:row>
    <x:row r="7" ht="34" customHeight="1">
      <x:c r="A7" s="45" t="str">
        <x:v>クラレッタ･フリンツ</x:v>
      </x:c>
      <x:c r="B7" s="45" t="str">
        <x:v>克拉蕾·弗林特</x:v>
      </x:c>
      <x:c r="C7" s="45" t="str">
        <x:v>official_variant</x:v>
      </x:c>
      <x:c r="D7" s="45" t="n">
        <x:v>0</x:v>
      </x:c>
      <x:c r="E7" s="45" t="str">
        <x:v>分隔符变体</x:v>
      </x:c>
      <x:c r="F7" s="45" t="str">
        <x:v>https://zenless.hoyoverse.com/ja-jp/main?catchSpider=1</x:v>
      </x:c>
    </x:row>
    <x:row r="8" ht="34" customHeight="1">
      <x:c r="A8" s="45" t="str">
        <x:v>クラレッタフリンツ</x:v>
      </x:c>
      <x:c r="B8" s="45" t="str">
        <x:v>克拉蕾·弗林特</x:v>
      </x:c>
      <x:c r="C8" s="45" t="str">
        <x:v>official_variant</x:v>
      </x:c>
      <x:c r="D8" s="45" t="n">
        <x:v>0</x:v>
      </x:c>
      <x:c r="E8" s="45" t="str">
        <x:v>无分隔符变体</x:v>
      </x:c>
      <x:c r="F8" s="45" t="str">
        <x:v>https://zenless.hoyoverse.com/ja-jp/main?catchSpider=1</x:v>
      </x:c>
    </x:row>
    <x:row r="9" ht="34" customHeight="1">
      <x:c r="A9" s="45" t="str">
        <x:v>クラレット</x:v>
      </x:c>
      <x:c r="B9" s="45" t="str">
        <x:v>克拉蕾</x:v>
      </x:c>
      <x:c r="C9" s="45" t="str">
        <x:v>observed_variant</x:v>
      </x:c>
      <x:c r="D9" s="45" t="n">
        <x:v>11</x:v>
      </x:c>
      <x:c r="E9" s="45" t="str">
        <x:v>クラレッタ 的高频ASR变体</x:v>
      </x:c>
      <x:c r="F9" s="45" t="str">
        <x:v>sample_20260829.srt</x:v>
      </x:c>
    </x:row>
    <x:row r="10" ht="34" customHeight="1">
      <x:c r="A10" s="45" t="str">
        <x:v>スクラレッタ</x:v>
      </x:c>
      <x:c r="B10" s="45" t="str">
        <x:v>克拉蕾</x:v>
      </x:c>
      <x:c r="C10" s="45" t="str">
        <x:v>observed_variant</x:v>
      </x:c>
      <x:c r="D10" s="45" t="n">
        <x:v>1</x:v>
      </x:c>
      <x:c r="E10" s="45" t="str">
        <x:v>クラレッタ 的带前缀ASR变体</x:v>
      </x:c>
      <x:c r="F10" s="45" t="str">
        <x:v>sample_20260829.srt</x:v>
      </x:c>
    </x:row>
    <x:row r="11" ht="34" customHeight="1">
      <x:c r="A11" s="45" t="str">
        <x:v>シグリット</x:v>
      </x:c>
      <x:c r="B11" s="45" t="str">
        <x:v>希格莉德</x:v>
      </x:c>
      <x:c r="C11" s="45" t="str">
        <x:v>observed_variant</x:v>
      </x:c>
      <x:c r="D11" s="45" t="n">
        <x:v>46</x:v>
      </x:c>
      <x:c r="E11" s="45" t="str">
        <x:v>シグリッド 的高频清浊音ASR变体</x:v>
      </x:c>
      <x:c r="F11" s="45" t="str">
        <x:v>sample_20260822.srt; sample_20260829.srt</x:v>
      </x:c>
    </x:row>
    <x:row r="12" ht="34" customHeight="1">
      <x:c r="A12" s="45" t="str">
        <x:v>シグニット</x:v>
      </x:c>
      <x:c r="B12" s="45" t="str">
        <x:v>希格莉德</x:v>
      </x:c>
      <x:c r="C12" s="45" t="str">
        <x:v>observed_variant</x:v>
      </x:c>
      <x:c r="D12" s="45" t="n">
        <x:v>6</x:v>
      </x:c>
      <x:c r="E12" s="45" t="str">
        <x:v>シグリッド 的ASR变体</x:v>
      </x:c>
      <x:c r="F12" s="45" t="str">
        <x:v>sample_20260822.srt</x:v>
      </x:c>
    </x:row>
    <x:row r="13" ht="34" customHeight="1">
      <x:c r="A13" s="45" t="str">
        <x:v>ピロイス</x:v>
      </x:c>
      <x:c r="B13" s="45" t="str">
        <x:v>佩洛伊斯</x:v>
      </x:c>
      <x:c r="C13" s="45" t="str">
        <x:v>observed_variant</x:v>
      </x:c>
      <x:c r="D13" s="45" t="n">
        <x:v>15</x:v>
      </x:c>
      <x:c r="E13" s="45" t="str">
        <x:v>ピュロイス 的高频ASR变体</x:v>
      </x:c>
      <x:c r="F13" s="45" t="str">
        <x:v>sample_20260822.srt; sample_20260825.srt</x:v>
      </x:c>
    </x:row>
    <x:row r="14" ht="34" customHeight="1">
      <x:c r="A14" s="45" t="str">
        <x:v>シーシア</x:v>
      </x:c>
      <x:c r="B14" s="45" t="str">
        <x:v>希希芙</x:v>
      </x:c>
      <x:c r="C14" s="45" t="str">
        <x:v>observed_variant</x:v>
      </x:c>
      <x:c r="D14" s="45" t="n">
        <x:v>12</x:v>
      </x:c>
      <x:c r="E14" s="45" t="str">
        <x:v>シーシィア 的高频ASR变体</x:v>
      </x:c>
      <x:c r="F14" s="45" t="str">
        <x:v>sample_20260822.srt</x:v>
      </x:c>
    </x:row>
    <x:row r="15" ht="34" customHeight="1">
      <x:c r="A15" s="45" t="str">
        <x:v>プロメイヤー</x:v>
      </x:c>
      <x:c r="B15" s="45" t="str">
        <x:v>普罗米娅</x:v>
      </x:c>
      <x:c r="C15" s="45" t="str">
        <x:v>observed_variant</x:v>
      </x:c>
      <x:c r="D15" s="45" t="n">
        <x:v>5</x:v>
      </x:c>
      <x:c r="E15" s="45" t="str">
        <x:v>プロメイア 的高频ASR变体</x:v>
      </x:c>
      <x:c r="F15" s="45" t="str">
        <x:v>sample_20260822.srt; sample_20260829.srt</x:v>
      </x:c>
    </x:row>
    <x:row r="16" ht="34" customHeight="1">
      <x:c r="A16" s="45" t="str">
        <x:v>プロメイヤ</x:v>
      </x:c>
      <x:c r="B16" s="45" t="str">
        <x:v>普罗米娅</x:v>
      </x:c>
      <x:c r="C16" s="45" t="str">
        <x:v>observed_variant</x:v>
      </x:c>
      <x:c r="D16" s="45" t="n">
        <x:v>11</x:v>
      </x:c>
      <x:c r="E16" s="45" t="str">
        <x:v>プロメイア 的短音ASR变体</x:v>
      </x:c>
      <x:c r="F16" s="45" t="str">
        <x:v>sample_20260822.srt</x:v>
      </x:c>
    </x:row>
    <x:row r="17" ht="34" customHeight="1">
      <x:c r="A17" s="45" t="str">
        <x:v>ベギナ</x:v>
      </x:c>
      <x:c r="B17" s="45" t="str">
        <x:v>维琳娜</x:v>
      </x:c>
      <x:c r="C17" s="45" t="str">
        <x:v>observed_variant</x:v>
      </x:c>
      <x:c r="D17" s="45" t="n">
        <x:v>4</x:v>
      </x:c>
      <x:c r="E17" s="45" t="str">
        <x:v>ヴェリナ 的ASR变体</x:v>
      </x:c>
      <x:c r="F17" s="45" t="str">
        <x:v>sample_20260822.srt</x:v>
      </x:c>
    </x:row>
    <x:row r="18" ht="34" customHeight="1">
      <x:c r="A18" s="45" t="str">
        <x:v>グレッシュ</x:v>
      </x:c>
      <x:c r="B18" s="45" t="str">
        <x:v>格莉丝</x:v>
      </x:c>
      <x:c r="C18" s="45" t="str">
        <x:v>observed_variant</x:v>
      </x:c>
      <x:c r="D18" s="45" t="n">
        <x:v>4</x:v>
      </x:c>
      <x:c r="E18" s="45" t="str">
        <x:v>グレース 的ASR变体</x:v>
      </x:c>
      <x:c r="F18" s="45" t="str">
        <x:v>sample_20260822.srt</x:v>
      </x:c>
    </x:row>
    <x:row r="19" ht="34" customHeight="1">
      <x:c r="A19" s="45" t="str">
        <x:v>イヤス</x:v>
      </x:c>
      <x:c r="B19" s="45" t="str">
        <x:v>伊埃斯</x:v>
      </x:c>
      <x:c r="C19" s="45" t="str">
        <x:v>observed_variant</x:v>
      </x:c>
      <x:c r="D19" s="45" t="n">
        <x:v>25</x:v>
      </x:c>
      <x:c r="E19" s="45" t="str">
        <x:v>イアス 的高频ASR变体</x:v>
      </x:c>
      <x:c r="F19" s="45" t="str">
        <x:v>sample_20260825.srt</x:v>
      </x:c>
    </x:row>
    <x:row r="20" ht="34" customHeight="1">
      <x:c r="A20" s="45" t="str">
        <x:v>メミエル</x:v>
      </x:c>
      <x:c r="B20" s="45" t="str">
        <x:v>蕾米埃尔</x:v>
      </x:c>
      <x:c r="C20" s="45" t="str">
        <x:v>observed_variant</x:v>
      </x:c>
      <x:c r="D20" s="45" t="n">
        <x:v>2</x:v>
      </x:c>
      <x:c r="E20" s="45" t="str">
        <x:v>レミエール 的ASR变体</x:v>
      </x:c>
      <x:c r="F20" s="45" t="str">
        <x:v>sample_20260825.srt; sample_20260829.srt</x:v>
      </x:c>
    </x:row>
    <x:row r="21" ht="34" customHeight="1">
      <x:c r="A21" s="45" t="str">
        <x:v>レミエリ</x:v>
      </x:c>
      <x:c r="B21" s="45" t="str">
        <x:v>蕾米埃尔</x:v>
      </x:c>
      <x:c r="C21" s="45" t="str">
        <x:v>observed_variant</x:v>
      </x:c>
      <x:c r="D21" s="45" t="n">
        <x:v>1</x:v>
      </x:c>
      <x:c r="E21" s="45" t="str">
        <x:v>レミエール 的ASR变体</x:v>
      </x:c>
      <x:c r="F21" s="45" t="str">
        <x:v>sample_20260822.srt</x:v>
      </x:c>
    </x:row>
    <x:row r="22" ht="34" customHeight="1">
      <x:c r="A22" s="45" t="str">
        <x:v>サンムリンガー</x:v>
      </x:c>
      <x:c r="B22" s="45" t="str">
        <x:v>挽昼</x:v>
      </x:c>
      <x:c r="C22" s="45" t="str">
        <x:v>observed_variant</x:v>
      </x:c>
      <x:c r="D22" s="45" t="n">
        <x:v>3</x:v>
      </x:c>
      <x:c r="E22" s="45" t="str">
        <x:v>サンブリンガー 的ASR变体</x:v>
      </x:c>
      <x:c r="F22" s="45" t="str">
        <x:v>sample_20260825.srt</x:v>
      </x:c>
    </x:row>
    <x:row r="23" ht="34" customHeight="1">
      <x:c r="A23" s="45" t="str">
        <x:v>リンドベルル</x:v>
      </x:c>
      <x:c r="B23" s="45" t="str">
        <x:v>林德薇恩</x:v>
      </x:c>
      <x:c r="C23" s="45" t="str">
        <x:v>observed_variant</x:v>
      </x:c>
      <x:c r="D23" s="45" t="n">
        <x:v>13</x:v>
      </x:c>
      <x:c r="E23" s="45" t="str">
        <x:v>リンドヴェルヌ 的ASR变体</x:v>
      </x:c>
      <x:c r="F23" s="45" t="str">
        <x:v>sample_20260829.srt</x:v>
      </x:c>
    </x:row>
    <x:row r="24" ht="34" customHeight="1">
      <x:c r="A24" s="45" t="str">
        <x:v>リンドベルネ</x:v>
      </x:c>
      <x:c r="B24" s="45" t="str">
        <x:v>林德薇恩</x:v>
      </x:c>
      <x:c r="C24" s="45" t="str">
        <x:v>observed_variant</x:v>
      </x:c>
      <x:c r="D24" s="45" t="n">
        <x:v>2</x:v>
      </x:c>
      <x:c r="E24" s="45" t="str">
        <x:v>リンドヴェルヌ 的ASR变体</x:v>
      </x:c>
      <x:c r="F24" s="45" t="str">
        <x:v>sample_20260829.srt</x:v>
      </x:c>
    </x:row>
    <x:row r="25" ht="34" customHeight="1">
      <x:c r="A25" s="45" t="str">
        <x:v>ニンドベル</x:v>
      </x:c>
      <x:c r="B25" s="45" t="str">
        <x:v>林德薇恩</x:v>
      </x:c>
      <x:c r="C25" s="45" t="str">
        <x:v>observed_variant</x:v>
      </x:c>
      <x:c r="D25" s="45" t="n">
        <x:v>3</x:v>
      </x:c>
      <x:c r="E25" s="45" t="str">
        <x:v>リンドヴェルヌ 的ASR变体</x:v>
      </x:c>
      <x:c r="F25" s="45" t="str">
        <x:v>sample_20260829.srt</x:v>
      </x:c>
    </x:row>
    <x:row r="26" ht="34" customHeight="1">
      <x:c r="A26" s="45" t="str">
        <x:v>ウリディンム</x:v>
      </x:c>
      <x:c r="B26" s="45" t="str">
        <x:v>乌利迪姆</x:v>
      </x:c>
      <x:c r="C26" s="45" t="str">
        <x:v>official</x:v>
      </x:c>
      <x:c r="D26" s="45" t="n">
        <x:v>0</x:v>
      </x:c>
      <x:c r="E26" s="45" t="str">
        <x:v>3.1敌人官方日文名</x:v>
      </x:c>
      <x:c r="F26" s="45" t="str">
        <x:v>sample_20260825.srt</x:v>
      </x:c>
    </x:row>
    <x:row r="27" ht="34" customHeight="1">
      <x:c r="A27" s="45" t="str">
        <x:v>猟犬・ウリディンム</x:v>
      </x:c>
      <x:c r="B27" s="45" t="str">
        <x:v>猎犬·乌利迪姆</x:v>
      </x:c>
      <x:c r="C27" s="45" t="str">
        <x:v>official</x:v>
      </x:c>
      <x:c r="D27" s="45" t="n">
        <x:v>0</x:v>
      </x:c>
      <x:c r="E27" s="45" t="str">
        <x:v>带称号完整形式</x:v>
      </x:c>
      <x:c r="F27" s="45" t="str">
        <x:v>sample_20260825.srt</x:v>
      </x:c>
    </x:row>
    <x:row r="28" ht="34" customHeight="1">
      <x:c r="A28" s="45" t="str">
        <x:v>ウリリム</x:v>
      </x:c>
      <x:c r="B28" s="45" t="str">
        <x:v>乌利迪姆</x:v>
      </x:c>
      <x:c r="C28" s="45" t="str">
        <x:v>observed_variant</x:v>
      </x:c>
      <x:c r="D28" s="45" t="n">
        <x:v>1</x:v>
      </x:c>
      <x:c r="E28" s="45" t="str">
        <x:v>ウリディンム 的ASR变体</x:v>
      </x:c>
      <x:c r="F28" s="45" t="str">
        <x:v>sample_20260825.srt</x:v>
      </x:c>
    </x:row>
    <x:row r="29" ht="34" customHeight="1">
      <x:c r="A29" s="45" t="str">
        <x:v>迷い路の謎</x:v>
      </x:c>
      <x:c r="B29" s="45" t="str">
        <x:v>迷宫诡域</x:v>
      </x:c>
      <x:c r="C29" s="45" t="str">
        <x:v>official</x:v>
      </x:c>
      <x:c r="D29" s="45" t="n">
        <x:v>0</x:v>
      </x:c>
      <x:c r="E29" s="45" t="str">
        <x:v>3.1玩法名</x:v>
      </x:c>
      <x:c r="F29" s="45" t="str">
        <x:v>sample_20260825.srt</x:v>
      </x:c>
    </x:row>
    <x:row r="30" ht="34" customHeight="1">
      <x:c r="A30" s="45" t="str">
        <x:v>ベーグル計画</x:v>
      </x:c>
      <x:c r="B30" s="45" t="str">
        <x:v>贝果计划</x:v>
      </x:c>
      <x:c r="C30" s="45" t="str">
        <x:v>official</x:v>
      </x:c>
      <x:c r="D30" s="45" t="n">
        <x:v>16</x:v>
      </x:c>
      <x:c r="E30" s="45" t="str">
        <x:v>3.1玩法副标题</x:v>
      </x:c>
      <x:c r="F30" s="45" t="str">
        <x:v>sample_20260825.srt</x:v>
      </x:c>
    </x:row>
    <x:row r="31" ht="34" customHeight="1">
      <x:c r="A31" s="45" t="str">
        <x:v>ベイブル計画</x:v>
      </x:c>
      <x:c r="B31" s="45" t="str">
        <x:v>贝果计划</x:v>
      </x:c>
      <x:c r="C31" s="45" t="str">
        <x:v>observed_variant</x:v>
      </x:c>
      <x:c r="D31" s="45" t="n">
        <x:v>3</x:v>
      </x:c>
      <x:c r="E31" s="45" t="str">
        <x:v>ベーグル計画 的ASR变体</x:v>
      </x:c>
      <x:c r="F31" s="45" t="str">
        <x:v>sample_20260825.srt</x:v>
      </x:c>
    </x:row>
    <x:row r="32" ht="34" customHeight="1">
      <x:c r="A32" s="45" t="str">
        <x:v>オーモンド・フリンツ</x:v>
      </x:c>
      <x:c r="B32" s="45" t="str">
        <x:v>奥蒙德·弗林特</x:v>
      </x:c>
      <x:c r="C32" s="45" t="str">
        <x:v>verified_context</x:v>
      </x:c>
      <x:c r="D32" s="45" t="n">
        <x:v>0</x:v>
      </x:c>
      <x:c r="E32" s="45" t="str">
        <x:v>角色完整姓名</x:v>
      </x:c>
      <x:c r="F32" s="45" t="str">
        <x:v>sample_20260825.srt</x:v>
      </x:c>
    </x:row>
    <x:row r="33" ht="34" customHeight="1">
      <x:c r="A33" s="45" t="str">
        <x:v>オーモンド･フリンツ</x:v>
      </x:c>
      <x:c r="B33" s="45" t="str">
        <x:v>奥蒙德·弗林特</x:v>
      </x:c>
      <x:c r="C33" s="45" t="str">
        <x:v>verified_context</x:v>
      </x:c>
      <x:c r="D33" s="45" t="n">
        <x:v>0</x:v>
      </x:c>
      <x:c r="E33" s="45" t="str">
        <x:v>分隔符变体</x:v>
      </x:c>
      <x:c r="F33" s="45" t="str">
        <x:v>sample_20260825.srt</x:v>
      </x:c>
    </x:row>
    <x:row r="34" ht="34" customHeight="1">
      <x:c r="A34" s="45" t="str">
        <x:v>オーモンドフリンツ</x:v>
      </x:c>
      <x:c r="B34" s="45" t="str">
        <x:v>奥蒙德·弗林特</x:v>
      </x:c>
      <x:c r="C34" s="45" t="str">
        <x:v>observed_variant</x:v>
      </x:c>
      <x:c r="D34" s="45" t="n">
        <x:v>2</x:v>
      </x:c>
      <x:c r="E34" s="45" t="str">
        <x:v>无分隔符变体</x:v>
      </x:c>
      <x:c r="F34" s="45" t="str">
        <x:v>sample_20260825.srt</x:v>
      </x:c>
    </x:row>
    <x:row r="35" ht="34" customHeight="1">
      <x:c r="A35" s="45" t="str">
        <x:v>オーモンドフリンズ</x:v>
      </x:c>
      <x:c r="B35" s="45" t="str">
        <x:v>奥蒙德·弗林特</x:v>
      </x:c>
      <x:c r="C35" s="45" t="str">
        <x:v>observed_variant</x:v>
      </x:c>
      <x:c r="D35" s="45" t="n">
        <x:v>1</x:v>
      </x:c>
      <x:c r="E35" s="45" t="str">
        <x:v>姓名ASR变体</x:v>
      </x:c>
      <x:c r="F35" s="45" t="str">
        <x:v>sample_20260825.srt</x:v>
      </x:c>
    </x:row>
    <x:row r="36" ht="34" customHeight="1">
      <x:c r="A36" s="45" t="str">
        <x:v>オーモンドフリンチ</x:v>
      </x:c>
      <x:c r="B36" s="45" t="str">
        <x:v>奥蒙德·弗林特</x:v>
      </x:c>
      <x:c r="C36" s="45" t="str">
        <x:v>observed_variant</x:v>
      </x:c>
      <x:c r="D36" s="45" t="n">
        <x:v>1</x:v>
      </x:c>
      <x:c r="E36" s="45" t="str">
        <x:v>姓名ASR变体</x:v>
      </x:c>
      <x:c r="F36" s="45" t="str">
        <x:v>sample_20260825.srt</x:v>
      </x:c>
    </x:row>
    <x:row r="37" ht="34" customHeight="1">
      <x:c r="A37" s="45" t="str">
        <x:v>オーモンド</x:v>
      </x:c>
      <x:c r="B37" s="45" t="str">
        <x:v>奥蒙德</x:v>
      </x:c>
      <x:c r="C37" s="45" t="str">
        <x:v>observed_missing</x:v>
      </x:c>
      <x:c r="D37" s="45" t="n">
        <x:v>18</x:v>
      </x:c>
      <x:c r="E37" s="45" t="str">
        <x:v>角色名；原表只有调查基地全称</x:v>
      </x:c>
      <x:c r="F37" s="45" t="str">
        <x:v>sample_20260825.srt</x:v>
      </x:c>
    </x:row>
    <x:row r="38" ht="34" customHeight="1">
      <x:c r="A38" s="45" t="str">
        <x:v>ジョイアス</x:v>
      </x:c>
      <x:c r="B38" s="45" t="str">
        <x:v>乔伊斯</x:v>
      </x:c>
      <x:c r="C38" s="45" t="str">
        <x:v>verified_context</x:v>
      </x:c>
      <x:c r="D38" s="45" t="n">
        <x:v>5</x:v>
      </x:c>
      <x:c r="E38" s="45" t="str">
        <x:v>3.1剧情人物</x:v>
      </x:c>
      <x:c r="F38" s="45" t="str">
        <x:v>sample_20260825.srt</x:v>
      </x:c>
    </x:row>
    <x:row r="39" ht="34" customHeight="1">
      <x:c r="A39" s="45" t="str">
        <x:v>フリンツ工房</x:v>
      </x:c>
      <x:c r="B39" s="45" t="str">
        <x:v>弗林特工坊</x:v>
      </x:c>
      <x:c r="C39" s="45" t="str">
        <x:v>official</x:v>
      </x:c>
      <x:c r="D39" s="45" t="n">
        <x:v>4</x:v>
      </x:c>
      <x:c r="E39" s="45" t="str">
        <x:v>3.2阵营官方名称</x:v>
      </x:c>
      <x:c r="F39" s="45" t="str">
        <x:v>https://zenless.hoyoverse.com/ja-jp/news/165865?catchSpider=1</x:v>
      </x:c>
    </x:row>
    <x:row r="40" ht="34" customHeight="1">
      <x:c r="A40" s="45" t="str">
        <x:v>フリンス工房</x:v>
      </x:c>
      <x:c r="B40" s="45" t="str">
        <x:v>弗林特工坊</x:v>
      </x:c>
      <x:c r="C40" s="45" t="str">
        <x:v>observed_variant</x:v>
      </x:c>
      <x:c r="D40" s="45" t="n">
        <x:v>2</x:v>
      </x:c>
      <x:c r="E40" s="45" t="str">
        <x:v>フリンツ工房 的ASR变体</x:v>
      </x:c>
      <x:c r="F40" s="45" t="str">
        <x:v>sample_20260829.srt</x:v>
      </x:c>
    </x:row>
    <x:row r="41" ht="34" customHeight="1">
      <x:c r="A41" s="45" t="str">
        <x:v>フリンツ</x:v>
      </x:c>
      <x:c r="B41" s="45" t="str">
        <x:v>弗林特</x:v>
      </x:c>
      <x:c r="C41" s="45" t="str">
        <x:v>official</x:v>
      </x:c>
      <x:c r="D41" s="45" t="n">
        <x:v>10</x:v>
      </x:c>
      <x:c r="E41" s="45" t="str">
        <x:v>姓氏及工坊简称</x:v>
      </x:c>
      <x:c r="F41" s="45" t="str">
        <x:v>https://zenless.hoyoverse.com/zh-cn/main?catchSpider=1</x:v>
      </x:c>
    </x:row>
    <x:row r="42" ht="34" customHeight="1">
      <x:c r="A42" s="45" t="str">
        <x:v>ヴィルリウム</x:v>
      </x:c>
      <x:c r="B42" s="45" t="str">
        <x:v>维尔乌姆</x:v>
      </x:c>
      <x:c r="C42" s="45" t="str">
        <x:v>official</x:v>
      </x:c>
      <x:c r="D42" s="45" t="n">
        <x:v>1</x:v>
      </x:c>
      <x:c r="E42" s="45" t="str">
        <x:v>3.2地区官方名称</x:v>
      </x:c>
      <x:c r="F42" s="45" t="str">
        <x:v>https://www.taptap.cn/forum/g330333?type=official</x:v>
      </x:c>
    </x:row>
    <x:row r="43" ht="34" customHeight="1">
      <x:c r="A43" s="45" t="str">
        <x:v>ビルリウム</x:v>
      </x:c>
      <x:c r="B43" s="45" t="str">
        <x:v>维尔乌姆</x:v>
      </x:c>
      <x:c r="C43" s="45" t="str">
        <x:v>observed_variant</x:v>
      </x:c>
      <x:c r="D43" s="45" t="n">
        <x:v>3</x:v>
      </x:c>
      <x:c r="E43" s="45" t="str">
        <x:v>ヴィルリウム 的ASR变体</x:v>
      </x:c>
      <x:c r="F43" s="45" t="str">
        <x:v>sample_20260829.srt</x:v>
      </x:c>
    </x:row>
    <x:row r="44" ht="34" customHeight="1">
      <x:c r="A44" s="45" t="str">
        <x:v>業核</x:v>
      </x:c>
      <x:c r="B44" s="45" t="str">
        <x:v>业核</x:v>
      </x:c>
      <x:c r="C44" s="45" t="str">
        <x:v>official</x:v>
      </x:c>
      <x:c r="D44" s="45" t="n">
        <x:v>0</x:v>
      </x:c>
      <x:c r="E44" s="45" t="str">
        <x:v>3.2剧情术语</x:v>
      </x:c>
      <x:c r="F44" s="45" t="str">
        <x:v>https://zenless.hoyoverse.com/ja-jp/news/165865?catchSpider=1</x:v>
      </x:c>
    </x:row>
    <x:row r="45" ht="34" customHeight="1">
      <x:c r="A45" s="45" t="str">
        <x:v>ミスター・ゼット</x:v>
      </x:c>
      <x:c r="B45" s="45" t="str">
        <x:v>Z先生</x:v>
      </x:c>
      <x:c r="C45" s="45" t="str">
        <x:v>official</x:v>
      </x:c>
      <x:c r="D45" s="45" t="n">
        <x:v>2</x:v>
      </x:c>
      <x:c r="E45" s="45" t="str">
        <x:v>主持人称呼完整形式</x:v>
      </x:c>
      <x:c r="F45" s="45" t="str">
        <x:v>https://zenless.hoyoverse.com/ja-jp/news/165865?catchSpider=1</x:v>
      </x:c>
    </x:row>
    <x:row r="46" ht="34" customHeight="1">
      <x:c r="A46" s="45" t="str">
        <x:v>ミスターZ</x:v>
      </x:c>
      <x:c r="B46" s="45" t="str">
        <x:v>Z先生</x:v>
      </x:c>
      <x:c r="C46" s="45" t="str">
        <x:v>observed_variant</x:v>
      </x:c>
      <x:c r="D46" s="45" t="n">
        <x:v>2</x:v>
      </x:c>
      <x:c r="E46" s="45" t="str">
        <x:v>字幕中实际形式</x:v>
      </x:c>
      <x:c r="F46" s="45" t="str">
        <x:v>sample_20260829.srt</x:v>
      </x:c>
    </x:row>
    <x:row r="47" ht="34" customHeight="1">
      <x:c r="A47" s="45" t="str">
        <x:v>ミスターゼット</x:v>
      </x:c>
      <x:c r="B47" s="45" t="str">
        <x:v>Z先生</x:v>
      </x:c>
      <x:c r="C47" s="45" t="str">
        <x:v>official_variant</x:v>
      </x:c>
      <x:c r="D47" s="45" t="n">
        <x:v>0</x:v>
      </x:c>
      <x:c r="E47" s="45" t="str">
        <x:v>无分隔符形式</x:v>
      </x:c>
      <x:c r="F47" s="45" t="str">
        <x:v>https://zenless.hoyoverse.com/ja-jp/news/165865?catchSpider=1</x:v>
      </x:c>
    </x:row>
    <x:row r="48" ht="34" customHeight="1">
      <x:c r="A48" s="45" t="str">
        <x:v>シリオン</x:v>
      </x:c>
      <x:c r="B48" s="45" t="str">
        <x:v>希人</x:v>
      </x:c>
      <x:c r="C48" s="45" t="str">
        <x:v>verified_context</x:v>
      </x:c>
      <x:c r="D48" s="45" t="n">
        <x:v>7</x:v>
      </x:c>
      <x:c r="E48" s="45" t="str">
        <x:v>世界观种族术语；三份字幕中译名漂移严重</x:v>
      </x:c>
      <x:c r="F48" s="45" t="str">
        <x:v>sample_20260822.srt; sample_20260829.srt</x:v>
      </x:c>
    </x:row>
    <x:row r="49" ht="34" customHeight="1">
      <x:c r="A49" s="45" t="str">
        <x:v>パシャリ！フォーカスの陣！</x:v>
      </x:c>
      <x:c r="B49" s="45" t="str">
        <x:v>咔嚓！焦点对决！</x:v>
      </x:c>
      <x:c r="C49" s="45" t="str">
        <x:v>verified_context</x:v>
      </x:c>
      <x:c r="D49" s="45" t="n">
        <x:v>0</x:v>
      </x:c>
      <x:c r="E49" s="45" t="str">
        <x:v>3.1活动名</x:v>
      </x:c>
      <x:c r="F49" s="45" t="str">
        <x:v>sample_20260822.srt</x:v>
      </x:c>
    </x:row>
    <x:row r="50" ht="34" customHeight="1">
      <x:c r="A50" s="45" t="str">
        <x:v>ポテンシャル解放</x:v>
      </x:c>
      <x:c r="B50" s="45" t="str">
        <x:v>潜能解放</x:v>
      </x:c>
      <x:c r="C50" s="45" t="str">
        <x:v>observed_missing</x:v>
      </x:c>
      <x:c r="D50" s="45" t="n">
        <x:v>3</x:v>
      </x:c>
      <x:c r="E50" s="45" t="str">
        <x:v>系统功能名</x:v>
      </x:c>
      <x:c r="F50" s="45" t="str">
        <x:v>sample_20260822.srt</x:v>
      </x:c>
    </x:row>
    <x:row r="51" ht="34" customHeight="1">
      <x:c r="A51" s="45" t="str">
        <x:v>ポテ解</x:v>
      </x:c>
      <x:c r="B51" s="45" t="str">
        <x:v>潜能解放</x:v>
      </x:c>
      <x:c r="C51" s="45" t="str">
        <x:v>observed_variant</x:v>
      </x:c>
      <x:c r="D51" s="45" t="n">
        <x:v>4</x:v>
      </x:c>
      <x:c r="E51" s="45" t="str">
        <x:v>ポテンシャル解放 的玩家简称</x:v>
      </x:c>
      <x:c r="F51" s="45" t="str">
        <x:v>sample_20260822.srt</x:v>
      </x:c>
    </x:row>
    <x:row r="52" ht="34" customHeight="1">
      <x:c r="A52" s="45" t="str">
        <x:v>ゼロビー</x:v>
      </x:c>
      <x:c r="B52" s="45" t="str">
        <x:v>零比</x:v>
      </x:c>
      <x:c r="C52" s="45" t="str">
        <x:v>streamer_alias</x:v>
      </x:c>
      <x:c r="D52" s="45" t="n">
        <x:v>5</x:v>
      </x:c>
      <x:c r="E52" s="45" t="str">
        <x:v>主播对零号·安比的简称</x:v>
      </x:c>
      <x:c r="F52" s="45" t="str">
        <x:v>sample_20260822.srt</x:v>
      </x:c>
    </x:row>
    <x:row r="53" ht="34" customHeight="1">
      <x:c r="A53" s="45" t="str">
        <x:v>シルビー</x:v>
      </x:c>
      <x:c r="B53" s="45" t="str">
        <x:v>希尔比</x:v>
      </x:c>
      <x:c r="C53" s="45" t="str">
        <x:v>streamer_alias</x:v>
      </x:c>
      <x:c r="D53" s="45" t="n">
        <x:v>3</x:v>
      </x:c>
      <x:c r="E53" s="45" t="str">
        <x:v>主播使用的简称</x:v>
      </x:c>
      <x:c r="F53" s="45" t="str">
        <x:v>sample_20260822.srt</x:v>
      </x:c>
    </x:row>
    <x:row r="54" ht="34" customHeight="1">
      <x:c r="A54" s="45" t="str">
        <x:v>ライトさん</x:v>
      </x:c>
      <x:c r="B54" s="45" t="str">
        <x:v>莱特</x:v>
      </x:c>
      <x:c r="C54" s="45" t="str">
        <x:v>safe_alias</x:v>
      </x:c>
      <x:c r="D54" s="45" t="n">
        <x:v>4</x:v>
      </x:c>
      <x:c r="E54" s="45" t="str">
        <x:v>用敬称限定，避免误命中 スターライト</x:v>
      </x:c>
      <x:c r="F54" s="45" t="str">
        <x:v>sample_20260822.srt</x:v>
      </x:c>
    </x:row>
    <x:row r="55" ht="34" customHeight="1">
      <x:c r="A55" s="45" t="str">
        <x:v>ライト様</x:v>
      </x:c>
      <x:c r="B55" s="45" t="str">
        <x:v>莱特</x:v>
      </x:c>
      <x:c r="C55" s="45" t="str">
        <x:v>safe_alias</x:v>
      </x:c>
      <x:c r="D55" s="45" t="n">
        <x:v>0</x:v>
      </x:c>
      <x:c r="E55" s="45" t="str">
        <x:v>用敬称限定，避免误命中 スターライト</x:v>
      </x:c>
      <x:c r="F55" s="45" t="str">
        <x:v>sample_20260822.srt</x:v>
      </x:c>
    </x:row>
    <x:row r="56" ht="34" customHeight="1">
      <x:c r="A56" s="45" t="str">
        <x:v>ライト君</x:v>
      </x:c>
      <x:c r="B56" s="45" t="str">
        <x:v>莱特</x:v>
      </x:c>
      <x:c r="C56" s="45" t="str">
        <x:v>safe_alias</x:v>
      </x:c>
      <x:c r="D56" s="45" t="n">
        <x:v>0</x:v>
      </x:c>
      <x:c r="E56" s="45" t="str">
        <x:v>用敬称限定，避免误命中 スターライト</x:v>
      </x:c>
      <x:c r="F56" s="45" t="str">
        <x:v>sample_20260822.srt</x:v>
      </x:c>
    </x:row>
    <x:row r="57" ht="34" customHeight="1">
      <x:c r="A57" s="45" t="str">
        <x:v>ベンさん</x:v>
      </x:c>
      <x:c r="B57" s="45" t="str">
        <x:v>本</x:v>
      </x:c>
      <x:c r="C57" s="45" t="str">
        <x:v>safe_alias</x:v>
      </x:c>
      <x:c r="D57" s="45" t="n">
        <x:v>3</x:v>
      </x:c>
      <x:c r="E57" s="45" t="str">
        <x:v>用敬称限定，避免误命中 イベント</x:v>
      </x:c>
      <x:c r="F57" s="45" t="str">
        <x:v>sample_20260822.srt</x:v>
      </x:c>
    </x:row>
    <x:row r="58" ht="34" customHeight="1">
      <x:c r="A58" s="45" t="str">
        <x:v>セス君</x:v>
      </x:c>
      <x:c r="B58" s="45" t="str">
        <x:v>赛斯</x:v>
      </x:c>
      <x:c r="C58" s="45" t="str">
        <x:v>safe_alias</x:v>
      </x:c>
      <x:c r="D58" s="45" t="n">
        <x:v>7</x:v>
      </x:c>
      <x:c r="E58" s="45" t="str">
        <x:v>用敬称限定，避免误命中 アクセス</x:v>
      </x:c>
      <x:c r="F58" s="45" t="str">
        <x:v>sample_20260822.srt</x:v>
      </x:c>
    </x:row>
    <x:row r="59" ht="34" customHeight="1">
      <x:c r="A59" s="45" t="str">
        <x:v>セスさん</x:v>
      </x:c>
      <x:c r="B59" s="45" t="str">
        <x:v>赛斯</x:v>
      </x:c>
      <x:c r="C59" s="45" t="str">
        <x:v>safe_alias</x:v>
      </x:c>
      <x:c r="D59" s="45" t="n">
        <x:v>0</x:v>
      </x:c>
      <x:c r="E59" s="45" t="str">
        <x:v>用敬称限定，避免误命中 アクセス</x:v>
      </x:c>
      <x:c r="F59" s="45" t="str">
        <x:v>sample_20260822.srt</x:v>
      </x:c>
    </x:row>
  </x:sheetData>
  <x:conditionalFormatting sqref="C2:C59">
    <x:cfRule type="containsText" dxfId="0" priority="1" operator="containsText" text="offic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54" hidden="0" customWidth="1"/>
  </x:cols>
  <x:sheetData>
    <x:row r="1" ht="28" customHeight="1">
      <x:c r="A1" s="51" t="str">
        <x:v>移除日文词</x:v>
      </x:c>
      <x:c r="B1" s="52" t="str">
        <x:v>原中文</x:v>
      </x:c>
      <x:c r="C1" s="52" t="str">
        <x:v>样本命中</x:v>
      </x:c>
      <x:c r="D1" s="52" t="str">
        <x:v>明显冲突</x:v>
      </x:c>
      <x:c r="E1" s="52" t="str">
        <x:v>冲突率</x:v>
      </x:c>
      <x:c r="F1" s="53" t="str">
        <x:v>移除原因</x:v>
      </x:c>
    </x:row>
    <x:row r="2" ht="34" customHeight="1">
      <x:c r="A2" s="45" t="str">
        <x:v>リン</x:v>
      </x:c>
      <x:c r="B2" s="45" t="str">
        <x:v>铃</x:v>
      </x:c>
      <x:c r="C2" s="45" t="n">
        <x:v>96</x:v>
      </x:c>
      <x:c r="D2" s="45" t="n">
        <x:v>40</x:v>
      </x:c>
      <x:c r="E2" s="54" t="n">
        <x:v>0.4166666666666667</x:v>
      </x:c>
      <x:c r="F2" s="45" t="str">
        <x:v>会误命中 リング、フリンツ、カリン、イヴリン 等</x:v>
      </x:c>
    </x:row>
    <x:row r="3" ht="34" customHeight="1">
      <x:c r="A3" s="45" t="str">
        <x:v>にこ</x:v>
      </x:c>
      <x:c r="B3" s="45" t="str">
        <x:v>妮可</x:v>
      </x:c>
      <x:c r="C3" s="45" t="n">
        <x:v>27</x:v>
      </x:c>
      <x:c r="D3" s="45" t="n">
        <x:v>27</x:v>
      </x:c>
      <x:c r="E3" s="54" t="n">
        <x:v>1</x:v>
      </x:c>
      <x:c r="F3" s="45" t="str">
        <x:v>会误命中 普通にここ、下にこれ 等普通短语</x:v>
      </x:c>
    </x:row>
    <x:row r="4" ht="34" customHeight="1">
      <x:c r="A4" s="45" t="str">
        <x:v>ジェン</x:v>
      </x:c>
      <x:c r="B4" s="45" t="str">
        <x:v>简</x:v>
      </x:c>
      <x:c r="C4" s="45" t="n">
        <x:v>19</x:v>
      </x:c>
      <x:c r="D4" s="45" t="n">
        <x:v>19</x:v>
      </x:c>
      <x:c r="E4" s="54" t="n">
        <x:v>1</x:v>
      </x:c>
      <x:c r="F4" s="45" t="str">
        <x:v>会误命中 エージェント</x:v>
      </x:c>
    </x:row>
    <x:row r="5" ht="34" customHeight="1">
      <x:c r="A5" s="45" t="str">
        <x:v>るし</x:v>
      </x:c>
      <x:c r="B5" s="45" t="str">
        <x:v>露西</x:v>
      </x:c>
      <x:c r="C5" s="45" t="n">
        <x:v>25</x:v>
      </x:c>
      <x:c r="D5" s="45" t="n">
        <x:v>15</x:v>
      </x:c>
      <x:c r="E5" s="54" t="n">
        <x:v>0.6</x:v>
      </x:c>
      <x:c r="F5" s="45" t="str">
        <x:v>会误命中 似てるし、いるし 等活用形式</x:v>
      </x:c>
    </x:row>
    <x:row r="6" ht="34" customHeight="1">
      <x:c r="A6" s="45" t="str">
        <x:v>まな</x:v>
      </x:c>
      <x:c r="B6" s="45" t="str">
        <x:v>又奈</x:v>
      </x:c>
      <x:c r="C6" s="45" t="n">
        <x:v>13</x:v>
      </x:c>
      <x:c r="D6" s="45" t="n">
        <x:v>11</x:v>
      </x:c>
      <x:c r="E6" s="54" t="n">
        <x:v>0.8461538461538461</x:v>
      </x:c>
      <x:c r="F6" s="45" t="str">
        <x:v>会误命中 そのまま、あんまない 等普通短语</x:v>
      </x:c>
    </x:row>
    <x:row r="7" ht="34" customHeight="1">
      <x:c r="A7" s="45" t="str">
        <x:v>りな</x:v>
      </x:c>
      <x:c r="B7" s="45" t="str">
        <x:v>丽娜</x:v>
      </x:c>
      <x:c r="C7" s="45" t="n">
        <x:v>12</x:v>
      </x:c>
      <x:c r="D7" s="45" t="n">
        <x:v>11</x:v>
      </x:c>
      <x:c r="E7" s="54" t="n">
        <x:v>0.9166666666666666</x:v>
      </x:c>
      <x:c r="F7" s="45" t="str">
        <x:v>会误命中 やりながら 等普通短语</x:v>
      </x:c>
    </x:row>
    <x:row r="8" ht="34" customHeight="1">
      <x:c r="A8" s="45" t="str">
        <x:v>ベン</x:v>
      </x:c>
      <x:c r="B8" s="45" t="str">
        <x:v>本</x:v>
      </x:c>
      <x:c r="C8" s="45" t="n">
        <x:v>18</x:v>
      </x:c>
      <x:c r="D8" s="45" t="n">
        <x:v>10</x:v>
      </x:c>
      <x:c r="E8" s="54" t="n">
        <x:v>0.5555555555555556</x:v>
      </x:c>
      <x:c r="F8" s="45" t="str">
        <x:v>会误命中 イベント</x:v>
      </x:c>
    </x:row>
    <x:row r="9" ht="34" customHeight="1">
      <x:c r="A9" s="45" t="str">
        <x:v>ライト</x:v>
      </x:c>
      <x:c r="B9" s="45" t="str">
        <x:v>莱特</x:v>
      </x:c>
      <x:c r="C9" s="45" t="n">
        <x:v>17</x:v>
      </x:c>
      <x:c r="D9" s="45" t="n">
        <x:v>9</x:v>
      </x:c>
      <x:c r="E9" s="54" t="n">
        <x:v>0.5294117647058824</x:v>
      </x:c>
      <x:c r="F9" s="45" t="str">
        <x:v>会误命中 スターライト；保留完整人名并新增敬称形式</x:v>
      </x:c>
    </x:row>
    <x:row r="10" ht="34" customHeight="1">
      <x:c r="A10" s="45" t="str">
        <x:v>こら</x:v>
      </x:c>
      <x:c r="B10" s="45" t="str">
        <x:v>柯拉</x:v>
      </x:c>
      <x:c r="C10" s="45" t="n">
        <x:v>7</x:v>
      </x:c>
      <x:c r="D10" s="45" t="n">
        <x:v>7</x:v>
      </x:c>
      <x:c r="E10" s="54" t="n">
        <x:v>1</x:v>
      </x:c>
      <x:c r="F10" s="45" t="str">
        <x:v>会误命中 そこら、ここら、どこら</x:v>
      </x:c>
    </x:row>
    <x:row r="11" ht="34" customHeight="1">
      <x:c r="A11" s="45" t="str">
        <x:v>コラ</x:v>
      </x:c>
      <x:c r="B11" s="45" t="str">
        <x:v>柯拉</x:v>
      </x:c>
      <x:c r="C11" s="45" t="n">
        <x:v>6</x:v>
      </x:c>
      <x:c r="D11" s="45" t="n">
        <x:v>5</x:v>
      </x:c>
      <x:c r="E11" s="54" t="n">
        <x:v>0.8333333333333334</x:v>
      </x:c>
      <x:c r="F11" s="45" t="str">
        <x:v>会误命中 コラボ</x:v>
      </x:c>
    </x:row>
    <x:row r="12" ht="34" customHeight="1">
      <x:c r="A12" s="45" t="str">
        <x:v>えてる</x:v>
      </x:c>
      <x:c r="B12" s="45" t="str">
        <x:v>以太</x:v>
      </x:c>
      <x:c r="C12" s="45" t="n">
        <x:v>12</x:v>
      </x:c>
      <x:c r="D12" s="45" t="n">
        <x:v>4</x:v>
      </x:c>
      <x:c r="E12" s="54" t="n">
        <x:v>0.3333333333333333</x:v>
      </x:c>
      <x:c r="F12" s="45" t="str">
        <x:v>会误命中普通动词活用，如 考えてる、抱えてる</x:v>
      </x:c>
    </x:row>
    <x:row r="13" ht="34" customHeight="1">
      <x:c r="A13" s="45" t="str">
        <x:v>ダン</x:v>
      </x:c>
      <x:c r="B13" s="45" t="str">
        <x:v>丹</x:v>
      </x:c>
      <x:c r="C13" s="45" t="n">
        <x:v>10</x:v>
      </x:c>
      <x:c r="D13" s="45" t="n">
        <x:v>4</x:v>
      </x:c>
      <x:c r="E13" s="54" t="n">
        <x:v>0.4</x:v>
      </x:c>
      <x:c r="F13" s="45" t="str">
        <x:v>会误命中 ダンス、インピーダンス</x:v>
      </x:c>
    </x:row>
    <x:row r="14" ht="34" customHeight="1">
      <x:c r="A14" s="45" t="str">
        <x:v>セス</x:v>
      </x:c>
      <x:c r="B14" s="45" t="str">
        <x:v>赛斯</x:v>
      </x:c>
      <x:c r="C14" s="45" t="n">
        <x:v>14</x:v>
      </x:c>
      <x:c r="D14" s="45" t="n">
        <x:v>2</x:v>
      </x:c>
      <x:c r="E14" s="54" t="n">
        <x:v>0.14285714285714285</x:v>
      </x:c>
      <x:c r="F14" s="45" t="str">
        <x:v>会误命中 アクセス</x:v>
      </x:c>
    </x:row>
    <x:row r="15" ht="34" customHeight="1">
      <x:c r="A15" s="45" t="str">
        <x:v>せす</x:v>
      </x:c>
      <x:c r="B15" s="45" t="str">
        <x:v>赛斯</x:v>
      </x:c>
      <x:c r="C15" s="45" t="n">
        <x:v>2</x:v>
      </x:c>
      <x:c r="D15" s="45" t="n">
        <x:v>2</x:v>
      </x:c>
      <x:c r="E15" s="54" t="n">
        <x:v>1</x:v>
      </x:c>
      <x:c r="F15" s="45" t="str">
        <x:v>过短平假名，容易跨词误命中</x:v>
      </x:c>
    </x:row>
    <x:row r="16" ht="34" customHeight="1">
      <x:c r="A16" s="45" t="str">
        <x:v>くれた</x:v>
      </x:c>
      <x:c r="B16" s="45" t="str">
        <x:v>珂蕾妲</x:v>
      </x:c>
      <x:c r="C16" s="45" t="n">
        <x:v>11</x:v>
      </x:c>
      <x:c r="D16" s="45" t="n">
        <x:v>2</x:v>
      </x:c>
      <x:c r="E16" s="54" t="n">
        <x:v>0.18181818181818182</x:v>
      </x:c>
      <x:c r="F16" s="45" t="str">
        <x:v>会误命中日语普通动词 くれた</x:v>
      </x:c>
    </x:row>
    <x:row r="17" ht="34" customHeight="1">
      <x:c r="A17" s="45" t="str">
        <x:v>マナ</x:v>
      </x:c>
      <x:c r="B17" s="45" t="str">
        <x:v>又奈</x:v>
      </x:c>
      <x:c r="C17" s="45" t="n">
        <x:v>5</x:v>
      </x:c>
      <x:c r="D17" s="45" t="n">
        <x:v>2</x:v>
      </x:c>
      <x:c r="E17" s="54" t="n">
        <x:v>0.4</x:v>
      </x:c>
      <x:c r="F17" s="45" t="str">
        <x:v>会误命中 マナー</x:v>
      </x:c>
    </x:row>
    <x:row r="18" ht="34" customHeight="1">
      <x:c r="A18" s="45" t="str">
        <x:v>ルシ</x:v>
      </x:c>
      <x:c r="B18" s="45" t="str">
        <x:v>露西</x:v>
      </x:c>
      <x:c r="C18" s="45" t="n">
        <x:v>4</x:v>
      </x:c>
      <x:c r="D18" s="45" t="n">
        <x:v>2</x:v>
      </x:c>
      <x:c r="E18" s="54" t="n">
        <x:v>0.5</x:v>
      </x:c>
      <x:c r="F18" s="45" t="str">
        <x:v>会误命中其他片假名词内部</x:v>
      </x:c>
    </x:row>
    <x:row r="19" ht="34" customHeight="1">
      <x:c r="A19" s="45" t="str">
        <x:v>キング</x:v>
      </x:c>
      <x:c r="B19" s="45" t="str">
        <x:v>金</x:v>
      </x:c>
      <x:c r="C19" s="45" t="n">
        <x:v>3</x:v>
      </x:c>
      <x:c r="D19" s="45" t="n">
        <x:v>1</x:v>
      </x:c>
      <x:c r="E19" s="54" t="n">
        <x:v>0.3333333333333333</x:v>
      </x:c>
      <x:c r="F19" s="45" t="str">
        <x:v>会误命中 クラッキング 等词</x:v>
      </x:c>
    </x:row>
    <x:row r="20" ht="34" customHeight="1">
      <x:c r="A20" s="45" t="str">
        <x:v>やお</x:v>
      </x:c>
      <x:c r="B20" s="45" t="str">
        <x:v>耀嘉音</x:v>
      </x:c>
      <x:c r="C20" s="45" t="n">
        <x:v>2</x:v>
      </x:c>
      <x:c r="D20" s="45" t="n">
        <x:v>1</x:v>
      </x:c>
      <x:c r="E20" s="54" t="n">
        <x:v>0.5</x:v>
      </x:c>
      <x:c r="F20" s="45" t="str">
        <x:v>会误命中 いやおかしい 等普通短语</x:v>
      </x:c>
    </x:row>
    <x:row r="21" ht="34" customHeight="1">
      <x:c r="A21" s="45" t="str">
        <x:v>ありす</x:v>
      </x:c>
      <x:c r="B21" s="45" t="str">
        <x:v>爱丽丝</x:v>
      </x:c>
      <x:c r="C21" s="45" t="n">
        <x:v>1</x:v>
      </x:c>
      <x:c r="D21" s="45" t="n">
        <x:v>1</x:v>
      </x:c>
      <x:c r="E21" s="54" t="n">
        <x:v>1</x:v>
      </x:c>
      <x:c r="F21" s="45" t="str">
        <x:v>会误命中 センスありすぎ 等普通短语</x:v>
      </x:c>
    </x:row>
    <x:row r="22" ht="34" customHeight="1">
      <x:c r="A22" s="45" t="str">
        <x:v>ありあ</x:v>
      </x:c>
      <x:c r="B22" s="45" t="str">
        <x:v>爱芮</x:v>
      </x:c>
      <x:c r="C22" s="45" t="n">
        <x:v>1</x:v>
      </x:c>
      <x:c r="D22" s="45" t="n">
        <x:v>1</x:v>
      </x:c>
      <x:c r="E22" s="54" t="n">
        <x:v>1</x:v>
      </x:c>
      <x:c r="F22" s="45" t="str">
        <x:v>会误命中 ありあり 等普通表达</x:v>
      </x:c>
    </x:row>
    <x:row r="23" ht="34" customHeight="1">
      <x:c r="A23" s="45" t="str">
        <x:v>町</x:v>
      </x:c>
      <x:c r="B23" s="45" t="str">
        <x:v>「小镇」</x:v>
      </x:c>
      <x:c r="C23" s="45" t="n">
        <x:v>1</x:v>
      </x:c>
      <x:c r="D23" s="45" t="n">
        <x:v>1</x:v>
      </x:c>
      <x:c r="E23" s="54" t="n">
        <x:v>1</x:v>
      </x:c>
      <x:c r="F23" s="45" t="str">
        <x:v>普通名词，不适合作为必须统一的专名</x:v>
      </x:c>
    </x:row>
    <x:row r="24" ht="34" customHeight="1">
      <x:c r="A24" s="45" t="str">
        <x:v>ホワイト</x:v>
      </x:c>
      <x:c r="B24" s="45" t="str">
        <x:v>怀特</x:v>
      </x:c>
      <x:c r="C24" s="45" t="n">
        <x:v>1</x:v>
      </x:c>
      <x:c r="D24" s="45" t="n">
        <x:v>1</x:v>
      </x:c>
      <x:c r="E24" s="54" t="n">
        <x:v>1</x:v>
      </x:c>
      <x:c r="F24" s="45" t="str">
        <x:v>会误命中 ホワイトスター学会；保留完整姓名</x:v>
      </x:c>
    </x:row>
    <x:row r="25" ht="34" customHeight="1">
      <x:c r="A25" s="45" t="str">
        <x:v>だん</x:v>
      </x:c>
      <x:c r="B25" s="45" t="str">
        <x:v>丹</x:v>
      </x:c>
      <x:c r="C25" s="45" t="n">
        <x:v>1</x:v>
      </x:c>
      <x:c r="D25" s="45" t="n">
        <x:v>1</x:v>
      </x:c>
      <x:c r="E25" s="54" t="n">
        <x:v>1</x:v>
      </x:c>
      <x:c r="F25" s="45" t="str">
        <x:v>会误命中 読んだん、だったん 等普通语尾</x:v>
      </x:c>
    </x:row>
  </x:sheetData>
  <x:conditionalFormatting sqref="E2:E25">
    <x:cfRule type="colorScale" priority="1">
      <x:colorScale>
        <x:cfvo type="min"/>
        <x:cfvo type="percentile" val="50"/>
        <x:cfvo type="max"/>
        <x:color rgb="FFFEF3C7"/>
        <x:color rgb="FFFCA5A5"/>
        <x:color rgb="FFDC2626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28" hidden="0" customWidth="1"/>
  </x:cols>
  <x:sheetData>
    <x:row r="1" ht="28" customHeight="1">
      <x:c r="A1" s="51" t="str">
        <x:v>日文样例</x:v>
      </x:c>
      <x:c r="B1" s="52" t="str">
        <x:v>现有译文</x:v>
      </x:c>
      <x:c r="C1" s="52" t="str">
        <x:v>建议译文</x:v>
      </x:c>
      <x:c r="D1" s="53" t="str">
        <x:v>问题类型</x:v>
      </x:c>
    </x:row>
    <x:row r="2" ht="34" customHeight="1">
      <x:c r="A2" s="45" t="str">
        <x:v>シグリットさんプロ</x:v>
      </x:c>
      <x:c r="B2" s="45" t="str">
        <x:v>西格丽特小姐，专业的</x:v>
      </x:c>
      <x:c r="C2" s="45" t="str">
        <x:v>希格莉德小姐，太专业了</x:v>
      </x:c>
      <x:c r="D2" s="45" t="str">
        <x:v>ASR变体未收录</x:v>
      </x:c>
    </x:row>
    <x:row r="3" ht="34" customHeight="1">
      <x:c r="A3" s="45" t="str">
        <x:v>シグニットの顔綺麗すぎて</x:v>
      </x:c>
      <x:c r="B3" s="45" t="str">
        <x:v>西格尼特的脸太好看了</x:v>
      </x:c>
      <x:c r="C3" s="45" t="str">
        <x:v>希格莉德的脸太好看了</x:v>
      </x:c>
      <x:c r="D3" s="45" t="str">
        <x:v>同一人名再次漂移</x:v>
      </x:c>
    </x:row>
    <x:row r="4" ht="34" customHeight="1">
      <x:c r="A4" s="45" t="str">
        <x:v>ロクシー!</x:v>
      </x:c>
      <x:c r="B4" s="45" t="str">
        <x:v>罗克西！</x:v>
      </x:c>
      <x:c r="C4" s="45" t="str">
        <x:v>洛克茜！</x:v>
      </x:c>
      <x:c r="D4" s="45" t="str">
        <x:v>缺少3.2官方角色名</x:v>
      </x:c>
    </x:row>
    <x:row r="5" ht="34" customHeight="1">
      <x:c r="A5" s="45" t="str">
        <x:v>ロクシーとは?</x:v>
      </x:c>
      <x:c r="B5" s="45" t="str">
        <x:v>洛希是谁？</x:v>
      </x:c>
      <x:c r="C5" s="45" t="str">
        <x:v>洛克茜是谁？</x:v>
      </x:c>
      <x:c r="D5" s="45" t="str">
        <x:v>同一角色缩写漂移</x:v>
      </x:c>
    </x:row>
    <x:row r="6" ht="34" customHeight="1">
      <x:c r="A6" s="45" t="str">
        <x:v>クラレットさん</x:v>
      </x:c>
      <x:c r="B6" s="45" t="str">
        <x:v>克拉蕾特小姐</x:v>
      </x:c>
      <x:c r="C6" s="45" t="str">
        <x:v>克拉蕾小姐</x:v>
      </x:c>
      <x:c r="D6" s="45" t="str">
        <x:v>标准名的ASR变体</x:v>
      </x:c>
    </x:row>
    <x:row r="7" ht="34" customHeight="1">
      <x:c r="A7" s="45" t="str">
        <x:v>ピロイスかっこいい</x:v>
      </x:c>
      <x:c r="B7" s="45" t="str">
        <x:v>皮洛伊丝好帅</x:v>
      </x:c>
      <x:c r="C7" s="45" t="str">
        <x:v>佩洛伊斯好帅</x:v>
      </x:c>
      <x:c r="D7" s="45" t="str">
        <x:v>标准名的ASR变体</x:v>
      </x:c>
    </x:row>
    <x:row r="8" ht="34" customHeight="1">
      <x:c r="A8" s="45" t="str">
        <x:v>シーシア持ってない</x:v>
      </x:c>
      <x:c r="B8" s="45" t="str">
        <x:v>我没有希夏</x:v>
      </x:c>
      <x:c r="C8" s="45" t="str">
        <x:v>我没有希希芙</x:v>
      </x:c>
      <x:c r="D8" s="45" t="str">
        <x:v>标准名的ASR变体</x:v>
      </x:c>
    </x:row>
    <x:row r="9" ht="34" customHeight="1">
      <x:c r="A9" s="45" t="str">
        <x:v>プロメイヤーも来て</x:v>
      </x:c>
      <x:c r="B9" s="45" t="str">
        <x:v>普罗梅耶也来了</x:v>
      </x:c>
      <x:c r="C9" s="45" t="str">
        <x:v>普罗米娅也来了</x:v>
      </x:c>
      <x:c r="D9" s="45" t="str">
        <x:v>标准名的ASR变体</x:v>
      </x:c>
    </x:row>
    <x:row r="10" ht="34" customHeight="1">
      <x:c r="A10" s="45" t="str">
        <x:v>ベギナ通常衣装</x:v>
      </x:c>
      <x:c r="B10" s="45" t="str">
        <x:v>贝吉娜的普通服装</x:v>
      </x:c>
      <x:c r="C10" s="45" t="str">
        <x:v>维琳娜的普通服装</x:v>
      </x:c>
      <x:c r="D10" s="45" t="str">
        <x:v>标准名的ASR变体</x:v>
      </x:c>
    </x:row>
    <x:row r="11" ht="34" customHeight="1">
      <x:c r="A11" s="45" t="str">
        <x:v>グレッシュさん</x:v>
      </x:c>
      <x:c r="B11" s="45" t="str">
        <x:v>格蕾丝</x:v>
      </x:c>
      <x:c r="C11" s="45" t="str">
        <x:v>格莉丝</x:v>
      </x:c>
      <x:c r="D11" s="45" t="str">
        <x:v>标准名的ASR变体</x:v>
      </x:c>
    </x:row>
    <x:row r="12" ht="34" customHeight="1">
      <x:c r="A12" s="45" t="str">
        <x:v>イヤスの安否</x:v>
      </x:c>
      <x:c r="B12" s="45" t="str">
        <x:v>伊亚斯的安危</x:v>
      </x:c>
      <x:c r="C12" s="45" t="str">
        <x:v>伊埃斯的安危</x:v>
      </x:c>
      <x:c r="D12" s="45" t="str">
        <x:v>标准名的ASR变体</x:v>
      </x:c>
    </x:row>
    <x:row r="13" ht="34" customHeight="1">
      <x:c r="A13" s="45" t="str">
        <x:v>ビルリウムにいる</x:v>
      </x:c>
      <x:c r="B13" s="45" t="str">
        <x:v>在比鲁里乌姆</x:v>
      </x:c>
      <x:c r="C13" s="45" t="str">
        <x:v>在维尔乌姆</x:v>
      </x:c>
      <x:c r="D13" s="45" t="str">
        <x:v>地区名缺失</x:v>
      </x:c>
    </x:row>
    <x:row r="14" ht="34" customHeight="1">
      <x:c r="A14" s="45" t="str">
        <x:v>フリンツ工房</x:v>
      </x:c>
      <x:c r="B14" s="45" t="str">
        <x:v>弗林茨工坊</x:v>
      </x:c>
      <x:c r="C14" s="45" t="str">
        <x:v>弗林特工坊</x:v>
      </x:c>
      <x:c r="D14" s="45" t="str">
        <x:v>阵营官方名称缺失</x:v>
      </x:c>
    </x:row>
    <x:row r="15" ht="34" customHeight="1">
      <x:c r="A15" s="45" t="str">
        <x:v>オオカミのシリオン</x:v>
      </x:c>
      <x:c r="B15" s="45" t="str">
        <x:v>狼的西里翁</x:v>
      </x:c>
      <x:c r="C15" s="45" t="str">
        <x:v>狼希人</x:v>
      </x:c>
      <x:c r="D15" s="45" t="str">
        <x:v>种族术语缺失</x:v>
      </x:c>
    </x:row>
    <x:row r="16" ht="34" customHeight="1">
      <x:c r="A16" s="45" t="str">
        <x:v>エージェント</x:v>
      </x:c>
      <x:c r="B16" s="45" t="str">
        <x:v>代理人</x:v>
      </x:c>
      <x:c r="C16" s="45" t="str">
        <x:v>代理人</x:v>
      </x:c>
      <x:c r="D16" s="45" t="str">
        <x:v>ジェン→简 会误命中</x:v>
      </x:c>
    </x:row>
    <x:row r="17" ht="34" customHeight="1">
      <x:c r="A17" s="45" t="str">
        <x:v>イベント</x:v>
      </x:c>
      <x:c r="B17" s="45" t="str">
        <x:v>活动</x:v>
      </x:c>
      <x:c r="C17" s="45" t="str">
        <x:v>活动</x:v>
      </x:c>
      <x:c r="D17" s="45" t="str">
        <x:v>ベン→本 会误命中</x:v>
      </x:c>
    </x:row>
    <x:row r="18" ht="34" customHeight="1">
      <x:c r="A18" s="45" t="str">
        <x:v>スターライト</x:v>
      </x:c>
      <x:c r="B18" s="45" t="str">
        <x:v>星徽</x:v>
      </x:c>
      <x:c r="C18" s="45" t="str">
        <x:v>星徽</x:v>
      </x:c>
      <x:c r="D18" s="45" t="str">
        <x:v>ライト→莱特 会误命中</x:v>
      </x:c>
    </x:row>
    <x:row r="19" ht="34" customHeight="1">
      <x:c r="A19" s="45" t="str">
        <x:v>ケンタッキーコラボ</x:v>
      </x:c>
      <x:c r="B19" s="45" t="str">
        <x:v>肯德基联动</x:v>
      </x:c>
      <x:c r="C19" s="45" t="str">
        <x:v>肯德基联动</x:v>
      </x:c>
      <x:c r="D19" s="45" t="str">
        <x:v>コラ→柯拉 会误命中</x:v>
      </x:c>
    </x:row>
    <x:row r="20" ht="34" customHeight="1">
      <x:c r="A20" s="45" t="str">
        <x:v>アクセス</x:v>
      </x:c>
      <x:c r="B20" s="45" t="str">
        <x:v>访问</x:v>
      </x:c>
      <x:c r="C20" s="45" t="str">
        <x:v>访问</x:v>
      </x:c>
      <x:c r="D20" s="45" t="str">
        <x:v>セス→赛斯 会误命中</x:v>
      </x:c>
    </x:row>
    <x:row r="21" ht="34" customHeight="1">
      <x:c r="A21" s="45" t="str">
        <x:v>ダンスバトル</x:v>
      </x:c>
      <x:c r="B21" s="45" t="str">
        <x:v>斗舞</x:v>
      </x:c>
      <x:c r="C21" s="45" t="str">
        <x:v>斗舞</x:v>
      </x:c>
      <x:c r="D21" s="45" t="str">
        <x:v>ダン→丹 会误命中</x:v>
      </x:c>
    </x:row>
  </x:sheetData>
  <x:pageMargins left="0.7" right="0.7" top="0.75" bottom="0.75" header="0.3" footer="0.3"/>
</x:worksheet>
</file>